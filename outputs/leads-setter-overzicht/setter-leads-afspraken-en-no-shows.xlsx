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cfd2a04bf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overzicht" sheetId="1" r:id="Rc5d30b3765914687"/>
    <x:sheet xmlns:r="http://schemas.openxmlformats.org/officeDocument/2006/relationships" name="Samenvatting" sheetId="2" r:id="R80987c2aed22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b/>
      <x:sz val="11"/>
      <x:name val="Aptos"/>
    </x:font>
  </x:fonts>
  <x:fills count="1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DE2E1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CA5A5"/>
      </x:patternFill>
    </x:fill>
    <x:fill>
      <x:patternFill patternType="solid">
        <x:fgColor rgb="FFFFE8CC"/>
      </x:patternFill>
    </x:fill>
    <x:fill>
      <x:patternFill patternType="solid">
        <x:fgColor rgb="FFFED7AA"/>
      </x:patternFill>
    </x:fill>
    <x:fill>
      <x:patternFill patternType="solid">
        <x:fgColor rgb="FFFFF7CC"/>
      </x:patternFill>
    </x:fill>
    <x:fill>
      <x:patternFill patternType="solid">
        <x:fgColor rgb="FFBFDBFE"/>
      </x:patternFill>
    </x:fill>
    <x:fill>
      <x:patternFill patternType="solid">
        <x:fgColor rgb="FF86EFAC"/>
      </x:patternFill>
    </x:fill>
    <x:fill>
      <x:patternFill patternType="solid">
        <x:fgColor rgb="FFDBEAFE"/>
      </x:patternFill>
    </x:fill>
    <x:fill>
      <x:patternFill patternType="solid">
        <x:fgColor rgb="FFC7D2FE"/>
      </x:patternFill>
    </x:fill>
    <x:fill>
      <x:patternFill patternType="solid">
        <x:fgColor rgb="FFD9E2EC"/>
      </x:patternFill>
    </x:fill>
    <x:fill>
      <x:patternFill patternType="solid">
        <x:fgColor rgb="FFF0F4F8"/>
      </x:patternFill>
    </x:fill>
  </x:fills>
  <x:borders count="17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bottom style="thin">
        <x:color rgb="FFCBD5E1"/>
      </x:bottom>
    </x:border>
    <x:border>
      <x:top style="thin">
        <x:color rgb="FFD9E2EC"/>
      </x:top>
      <x:bottom style="thin">
        <x:color rgb="FFCBD5E1"/>
      </x:bottom>
    </x:border>
    <x:border>
      <x:right style="thin">
        <x:color rgb="FFBCCCDC"/>
      </x:right>
      <x:bottom style="thin">
        <x:color rgb="FFBCCCDC"/>
      </x:bottom>
    </x:border>
    <x:border>
      <x:left style="thin">
        <x:color rgb="FFBCCCDC"/>
      </x:left>
      <x:bottom style="thin">
        <x:color rgb="FFBCCCDC"/>
      </x:bottom>
    </x:border>
    <x:border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left style="thin">
        <x:color rgb="FFBCCCDC"/>
      </x:left>
      <x:top style="thin">
        <x:color rgb="FFBCCCDC"/>
      </x:top>
      <x:bottom style="thin">
        <x:color rgb="FFBCCCDC"/>
      </x:bottom>
    </x:border>
    <x:border>
      <x:right style="thin">
        <x:color rgb="FFBCCCDC"/>
      </x:right>
      <x:top style="thin">
        <x:color rgb="FFBCCCDC"/>
      </x:top>
    </x:border>
    <x:border>
      <x:left style="thin">
        <x:color rgb="FFBCCCDC"/>
      </x:left>
      <x:top style="thin">
        <x:color rgb="FFBCCCDC"/>
      </x:top>
    </x:border>
    <x:border>
      <x:top style="thin">
        <x:color rgb="FFBCCCDC"/>
      </x:top>
      <x:bottom style="thin">
        <x:color rgb="FFD9E2EC"/>
      </x:bottom>
    </x:border>
    <x:border>
      <x:top style="thin">
        <x:color rgb="FFD9E2EC"/>
      </x:top>
      <x:bottom style="thin">
        <x:color rgb="FFBCCCDC"/>
      </x:bottom>
    </x:border>
    <x:border>
      <x:left style="thin">
        <x:color rgb="FFBCCCDC"/>
      </x:left>
      <x:right style="thin">
        <x:color rgb="FFBCCCDC"/>
      </x:right>
      <x:bottom style="thin">
        <x:color rgb="FFBCCCDC"/>
      </x:bottom>
    </x:border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left style="thin">
        <x:color rgb="FFBCCCDC"/>
      </x:left>
      <x:right style="thin">
        <x:color rgb="FFBCCCDC"/>
      </x:right>
      <x:top style="thin">
        <x:color rgb="FFBCCCDC"/>
      </x:top>
    </x:border>
  </x:borders>
  <x:cellStyleXfs count="1">
    <x:xf numFmtId="0" fontId="0" fillId="0" borderId="0"/>
  </x:cellStyleXfs>
  <x:cellXfs count="1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/>
    </x:xf>
    <x:xf numFmtId="0" fontId="6" fillId="0" borderId="2" xfId="0" applyNumberFormat="1" applyFont="1" applyFill="1" applyBorder="1" applyAlignment="1">
      <x:alignment horizontal="center" vertical="top"/>
    </x:xf>
    <x:xf numFmtId="0" fontId="6" fillId="0" borderId="3" xfId="0" applyNumberFormat="1" applyFont="1" applyFill="1" applyBorder="1" applyAlignment="1">
      <x:alignment horizontal="center" vertical="top"/>
    </x:xf>
    <x:xf numFmtId="200" fontId="6" fillId="0" borderId="1" xfId="0" applyNumberFormat="1" applyFont="1" applyFill="1" applyBorder="1" applyAlignment="1">
      <x:alignment horizontal="center" vertical="top"/>
    </x:xf>
    <x:xf numFmtId="200" fontId="6" fillId="0" borderId="2" xfId="0" applyNumberFormat="1" applyFont="1" applyFill="1" applyBorder="1" applyAlignment="1">
      <x:alignment horizontal="center" vertical="top"/>
    </x:xf>
    <x:xf numFmtId="200" fontId="6" fillId="0" borderId="3" xfId="0" applyNumberFormat="1" applyFont="1" applyFill="1" applyBorder="1" applyAlignment="1">
      <x:alignment horizontal="center" vertical="top"/>
    </x:xf>
    <x:xf numFmtId="0" fontId="6" fillId="3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horizontal="center" vertical="top"/>
    </x:xf>
    <x:xf numFmtId="200" fontId="6" fillId="3" borderId="1" xfId="0" applyNumberFormat="1" applyFont="1" applyFill="1" applyBorder="1" applyAlignment="1">
      <x:alignment horizontal="center" vertical="top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/>
    </x:xf>
    <x:xf numFmtId="0" fontId="6" fillId="3" borderId="4" xfId="0" applyNumberFormat="1" applyFont="1" applyFill="1" applyBorder="1" applyAlignment="1">
      <x:alignment horizontal="center" vertical="top"/>
    </x:xf>
    <x:xf numFmtId="200" fontId="6" fillId="3" borderId="4" xfId="0" applyNumberFormat="1" applyFont="1" applyFill="1" applyBorder="1" applyAlignment="1">
      <x:alignment horizontal="center" vertical="top"/>
    </x:xf>
    <x:xf numFmtId="0" fontId="6" fillId="3" borderId="4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horizontal="center" vertical="top"/>
    </x:xf>
    <x:xf numFmtId="0" fontId="6" fillId="5" borderId="4" xfId="0" applyNumberFormat="1" applyFont="1" applyFill="1" applyBorder="1" applyAlignment="1">
      <x:alignment horizontal="center" vertical="top"/>
    </x:xf>
    <x:xf numFmtId="0" fontId="6" fillId="6" borderId="4" xfId="0" applyNumberFormat="1" applyFont="1" applyFill="1" applyBorder="1" applyAlignment="1">
      <x:alignment horizontal="center" vertical="top"/>
    </x:xf>
    <x:xf numFmtId="0" fontId="7" fillId="4" borderId="4" xfId="0" applyNumberFormat="1" applyFont="1" applyFill="1" applyBorder="1" applyAlignment="1">
      <x:alignment horizontal="center" vertical="top"/>
    </x:xf>
    <x:xf numFmtId="0" fontId="7" fillId="5" borderId="4" xfId="0" applyNumberFormat="1" applyFont="1" applyFill="1" applyBorder="1" applyAlignment="1">
      <x:alignment horizontal="center" vertical="top"/>
    </x:xf>
    <x:xf numFmtId="0" fontId="7" fillId="6" borderId="4" xfId="0" applyNumberFormat="1" applyFont="1" applyFill="1" applyBorder="1" applyAlignment="1">
      <x:alignment horizontal="center" vertical="top"/>
    </x:xf>
    <x:xf numFmtId="0" fontId="6" fillId="3" borderId="2" xfId="0" applyNumberFormat="1" applyFont="1" applyFill="1" applyBorder="1" applyAlignment="1">
      <x:alignment vertical="top"/>
    </x:xf>
    <x:xf numFmtId="0" fontId="6" fillId="3" borderId="2" xfId="0" applyNumberFormat="1" applyFont="1" applyFill="1" applyBorder="1" applyAlignment="1">
      <x:alignment horizontal="center" vertical="top"/>
    </x:xf>
    <x:xf numFmtId="200" fontId="6" fillId="3" borderId="2" xfId="0" applyNumberFormat="1" applyFont="1" applyFill="1" applyBorder="1" applyAlignment="1">
      <x:alignment horizontal="center" vertical="top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/>
    </x:xf>
    <x:xf numFmtId="0" fontId="6" fillId="3" borderId="5" xfId="0" applyNumberFormat="1" applyFont="1" applyFill="1" applyBorder="1" applyAlignment="1">
      <x:alignment horizontal="center" vertical="top"/>
    </x:xf>
    <x:xf numFmtId="200" fontId="6" fillId="3" borderId="5" xfId="0" applyNumberFormat="1" applyFont="1" applyFill="1" applyBorder="1" applyAlignment="1">
      <x:alignment horizontal="center" vertical="top"/>
    </x:xf>
    <x:xf numFmtId="0" fontId="6" fillId="3" borderId="5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horizontal="center" vertical="top"/>
    </x:xf>
    <x:xf numFmtId="0" fontId="6" fillId="5" borderId="5" xfId="0" applyNumberFormat="1" applyFont="1" applyFill="1" applyBorder="1" applyAlignment="1">
      <x:alignment horizontal="center" vertical="top"/>
    </x:xf>
    <x:xf numFmtId="0" fontId="6" fillId="6" borderId="5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7" fillId="5" borderId="5" xfId="0" applyNumberFormat="1" applyFont="1" applyFill="1" applyBorder="1" applyAlignment="1">
      <x:alignment horizontal="center" vertical="top"/>
    </x:xf>
    <x:xf numFmtId="0" fontId="7" fillId="6" borderId="5" xfId="0" applyNumberFormat="1" applyFont="1" applyFill="1" applyBorder="1" applyAlignment="1">
      <x:alignment horizontal="center" vertical="top"/>
    </x:xf>
    <x:xf numFmtId="0" fontId="6" fillId="8" borderId="2" xfId="0" applyNumberFormat="1" applyFont="1" applyFill="1" applyBorder="1" applyAlignment="1">
      <x:alignment vertical="top"/>
    </x:xf>
    <x:xf numFmtId="0" fontId="6" fillId="8" borderId="2" xfId="0" applyNumberFormat="1" applyFont="1" applyFill="1" applyBorder="1" applyAlignment="1">
      <x:alignment horizontal="center" vertical="top"/>
    </x:xf>
    <x:xf numFmtId="200" fontId="6" fillId="8" borderId="2" xfId="0" applyNumberFormat="1" applyFont="1" applyFill="1" applyBorder="1" applyAlignment="1">
      <x:alignment horizontal="center" vertical="top"/>
    </x:xf>
    <x:xf numFmtId="0" fontId="6" fillId="8" borderId="2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/>
    </x:xf>
    <x:xf numFmtId="0" fontId="6" fillId="8" borderId="5" xfId="0" applyNumberFormat="1" applyFont="1" applyFill="1" applyBorder="1" applyAlignment="1">
      <x:alignment horizontal="center" vertical="top"/>
    </x:xf>
    <x:xf numFmtId="200" fontId="6" fillId="8" borderId="5" xfId="0" applyNumberFormat="1" applyFont="1" applyFill="1" applyBorder="1" applyAlignment="1">
      <x:alignment horizontal="center" vertical="top"/>
    </x:xf>
    <x:xf numFmtId="0" fontId="6" fillId="8" borderId="5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horizontal="center" vertical="top"/>
    </x:xf>
    <x:xf numFmtId="0" fontId="7" fillId="9" borderId="5" xfId="0" applyNumberFormat="1" applyFont="1" applyFill="1" applyBorder="1" applyAlignment="1">
      <x:alignment horizontal="center" vertical="top"/>
    </x:xf>
    <x:xf numFmtId="0" fontId="6" fillId="10" borderId="2" xfId="0" applyNumberFormat="1" applyFont="1" applyFill="1" applyBorder="1" applyAlignment="1">
      <x:alignment vertical="top"/>
    </x:xf>
    <x:xf numFmtId="0" fontId="6" fillId="10" borderId="2" xfId="0" applyNumberFormat="1" applyFont="1" applyFill="1" applyBorder="1" applyAlignment="1">
      <x:alignment horizontal="center" vertical="top"/>
    </x:xf>
    <x:xf numFmtId="200" fontId="6" fillId="10" borderId="2" xfId="0" applyNumberFormat="1" applyFont="1" applyFill="1" applyBorder="1" applyAlignment="1">
      <x:alignment horizontal="center" vertical="top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/>
    </x:xf>
    <x:xf numFmtId="0" fontId="6" fillId="10" borderId="5" xfId="0" applyNumberFormat="1" applyFont="1" applyFill="1" applyBorder="1" applyAlignment="1">
      <x:alignment horizontal="center" vertical="top"/>
    </x:xf>
    <x:xf numFmtId="200" fontId="6" fillId="10" borderId="5" xfId="0" applyNumberFormat="1" applyFont="1" applyFill="1" applyBorder="1" applyAlignment="1">
      <x:alignment horizontal="center" vertical="top"/>
    </x:xf>
    <x:xf numFmtId="0" fontId="6" fillId="10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horizontal="center" vertical="top"/>
    </x:xf>
    <x:xf numFmtId="0" fontId="6" fillId="11" borderId="5" xfId="0" applyNumberFormat="1" applyFont="1" applyFill="1" applyBorder="1" applyAlignment="1">
      <x:alignment horizontal="center" vertical="top"/>
    </x:xf>
    <x:xf numFmtId="0" fontId="6" fillId="12" borderId="5" xfId="0" applyNumberFormat="1" applyFont="1" applyFill="1" applyBorder="1" applyAlignment="1">
      <x:alignment horizontal="center" vertical="top"/>
    </x:xf>
    <x:xf numFmtId="0" fontId="7" fillId="4" borderId="5" xfId="0" applyNumberFormat="1" applyFont="1" applyFill="1" applyBorder="1" applyAlignment="1">
      <x:alignment horizontal="center" vertical="top"/>
    </x:xf>
    <x:xf numFmtId="0" fontId="7" fillId="11" borderId="5" xfId="0" applyNumberFormat="1" applyFont="1" applyFill="1" applyBorder="1" applyAlignment="1">
      <x:alignment horizontal="center" vertical="top"/>
    </x:xf>
    <x:xf numFmtId="0" fontId="7" fillId="12" borderId="5" xfId="0" applyNumberFormat="1" applyFont="1" applyFill="1" applyBorder="1" applyAlignment="1">
      <x:alignment horizontal="center" vertical="top"/>
    </x:xf>
    <x:xf numFmtId="0" fontId="6" fillId="4" borderId="2" xfId="0" applyNumberFormat="1" applyFont="1" applyFill="1" applyBorder="1" applyAlignment="1">
      <x:alignment vertical="top"/>
    </x:xf>
    <x:xf numFmtId="0" fontId="6" fillId="4" borderId="2" xfId="0" applyNumberFormat="1" applyFont="1" applyFill="1" applyBorder="1" applyAlignment="1">
      <x:alignment horizontal="center" vertical="top"/>
    </x:xf>
    <x:xf numFmtId="200" fontId="6" fillId="4" borderId="2" xfId="0" applyNumberFormat="1" applyFont="1" applyFill="1" applyBorder="1" applyAlignment="1">
      <x:alignment horizontal="center" vertical="top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/>
    </x:xf>
    <x:xf numFmtId="200" fontId="6" fillId="4" borderId="5" xfId="0" applyNumberFormat="1" applyFont="1" applyFill="1" applyBorder="1" applyAlignment="1">
      <x:alignment horizontal="center" vertical="top"/>
    </x:xf>
    <x:xf numFmtId="0" fontId="6" fillId="4" borderId="5" xfId="0" applyNumberFormat="1" applyFont="1" applyFill="1" applyBorder="1" applyAlignment="1">
      <x:alignment vertical="top" wrapText="1"/>
    </x:xf>
    <x:xf numFmtId="0" fontId="6" fillId="13" borderId="2" xfId="0" applyNumberFormat="1" applyFont="1" applyFill="1" applyBorder="1" applyAlignment="1">
      <x:alignment vertical="top"/>
    </x:xf>
    <x:xf numFmtId="0" fontId="6" fillId="13" borderId="2" xfId="0" applyNumberFormat="1" applyFont="1" applyFill="1" applyBorder="1" applyAlignment="1">
      <x:alignment horizontal="center" vertical="top"/>
    </x:xf>
    <x:xf numFmtId="200" fontId="6" fillId="13" borderId="2" xfId="0" applyNumberFormat="1" applyFont="1" applyFill="1" applyBorder="1" applyAlignment="1">
      <x:alignment horizontal="center" vertical="top"/>
    </x:xf>
    <x:xf numFmtId="0" fontId="6" fillId="13" borderId="2" xfId="0" applyNumberFormat="1" applyFont="1" applyFill="1" applyBorder="1" applyAlignment="1">
      <x:alignment vertical="top" wrapText="1"/>
    </x:xf>
    <x:xf numFmtId="0" fontId="6" fillId="13" borderId="5" xfId="0" applyNumberFormat="1" applyFont="1" applyFill="1" applyBorder="1" applyAlignment="1">
      <x:alignment vertical="top"/>
    </x:xf>
    <x:xf numFmtId="0" fontId="6" fillId="13" borderId="5" xfId="0" applyNumberFormat="1" applyFont="1" applyFill="1" applyBorder="1" applyAlignment="1">
      <x:alignment horizontal="center" vertical="top"/>
    </x:xf>
    <x:xf numFmtId="200" fontId="6" fillId="13" borderId="5" xfId="0" applyNumberFormat="1" applyFont="1" applyFill="1" applyBorder="1" applyAlignment="1">
      <x:alignment horizontal="center" vertical="top"/>
    </x:xf>
    <x:xf numFmtId="0" fontId="6" fillId="13" borderId="5" xfId="0" applyNumberFormat="1" applyFont="1" applyFill="1" applyBorder="1" applyAlignment="1">
      <x:alignment vertical="top" wrapText="1"/>
    </x:xf>
    <x:xf numFmtId="200" fontId="6" fillId="14" borderId="5" xfId="0" applyNumberFormat="1" applyFont="1" applyFill="1" applyBorder="1" applyAlignment="1">
      <x:alignment horizontal="center" vertical="top"/>
    </x:xf>
    <x:xf numFmtId="0" fontId="6" fillId="13" borderId="3" xfId="0" applyNumberFormat="1" applyFont="1" applyFill="1" applyBorder="1" applyAlignment="1">
      <x:alignment vertical="top"/>
    </x:xf>
    <x:xf numFmtId="0" fontId="6" fillId="13" borderId="3" xfId="0" applyNumberFormat="1" applyFont="1" applyFill="1" applyBorder="1" applyAlignment="1">
      <x:alignment horizontal="center" vertical="top"/>
    </x:xf>
    <x:xf numFmtId="200" fontId="6" fillId="13" borderId="3" xfId="0" applyNumberFormat="1" applyFont="1" applyFill="1" applyBorder="1" applyAlignment="1">
      <x:alignment horizontal="center" vertical="top"/>
    </x:xf>
    <x:xf numFmtId="0" fontId="6" fillId="13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6" xfId="0" applyNumberFormat="1" applyFont="1" applyFill="1" applyBorder="1"/>
    <x:xf numFmtId="0" fontId="9" fillId="15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0" fontId="9" fillId="15" borderId="1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1" fillId="15" borderId="6" xfId="0" applyNumberFormat="1" applyFont="1" applyFill="1" applyBorder="1"/>
    <x:xf numFmtId="0" fontId="11" fillId="15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1" fontId="4" fillId="0" borderId="11" xfId="0" applyNumberFormat="1" applyFont="1" applyFill="1" applyBorder="1"/>
    <x:xf numFmtId="0" fontId="11" fillId="15" borderId="12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0" fontId="4" fillId="0" borderId="13" xfId="0" applyNumberFormat="1" applyFont="1" applyFill="1" applyBorder="1"/>
    <x:xf numFmtId="200" fontId="4" fillId="0" borderId="13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7" fillId="15" borderId="6" xfId="0" applyNumberFormat="1" applyFont="1" applyFill="1" applyBorder="1"/>
    <x:xf numFmtId="0" fontId="7" fillId="15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201" fontId="6" fillId="0" borderId="11" xfId="0" applyNumberFormat="1" applyFont="1" applyFill="1" applyBorder="1"/>
    <x:xf numFmtId="0" fontId="7" fillId="15" borderId="12" xfId="0" applyNumberFormat="1" applyFont="1" applyFill="1" applyBorder="1"/>
    <x:xf numFmtId="200" fontId="6" fillId="0" borderId="2" xfId="0" applyNumberFormat="1" applyFont="1" applyFill="1" applyBorder="1"/>
    <x:xf numFmtId="0" fontId="6" fillId="0" borderId="13" xfId="0" applyNumberFormat="1" applyFont="1" applyFill="1" applyBorder="1"/>
    <x:xf numFmtId="200" fontId="6" fillId="0" borderId="1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horizontal="center"/>
    </x:xf>
    <x:xf numFmtId="201" fontId="6" fillId="0" borderId="11" xfId="0" applyNumberFormat="1" applyFont="1" applyFill="1" applyBorder="1" applyAlignment="1">
      <x:alignment horizontal="center"/>
    </x:xf>
    <x:xf numFmtId="0" fontId="7" fillId="0" borderId="9" xfId="0" applyNumberFormat="1" applyFont="1" applyFill="1" applyBorder="1" applyAlignment="1">
      <x:alignment horizontal="center"/>
    </x:xf>
    <x:xf numFmtId="201" fontId="7" fillId="0" borderId="11" xfId="0" applyNumberFormat="1" applyFont="1" applyFill="1" applyBorder="1" applyAlignment="1">
      <x:alignment horizontal="center"/>
    </x:xf>
    <x:xf numFmtId="0" fontId="6" fillId="15" borderId="0" xfId="0" applyNumberFormat="1" applyFont="1" applyFill="1" applyBorder="1"/>
    <x:xf numFmtId="0" fontId="7" fillId="15" borderId="0" xfId="0" applyNumberFormat="1" applyFont="1" applyFill="1" applyBorder="1"/>
    <x:xf numFmtId="0" fontId="6" fillId="3" borderId="0" xfId="0" applyNumberFormat="1" applyFont="1" applyFill="1" applyBorder="1"/>
    <x:xf numFmtId="0" fontId="6" fillId="8" borderId="0" xfId="0" applyNumberFormat="1" applyFont="1" applyFill="1" applyBorder="1"/>
    <x:xf numFmtId="0" fontId="6" fillId="4" borderId="0" xfId="0" applyNumberFormat="1" applyFont="1" applyFill="1" applyBorder="1"/>
    <x:xf numFmtId="0" fontId="6" fillId="13" borderId="0" xfId="0" applyNumberFormat="1" applyFont="1" applyFill="1" applyBorder="1"/>
    <x:xf numFmtId="0" fontId="7" fillId="15" borderId="14" xfId="0" applyNumberFormat="1" applyFont="1" applyFill="1" applyBorder="1"/>
    <x:xf numFmtId="0" fontId="6" fillId="3" borderId="8" xfId="0" applyNumberFormat="1" applyFont="1" applyFill="1" applyBorder="1"/>
    <x:xf numFmtId="0" fontId="6" fillId="0" borderId="15" xfId="0" applyNumberFormat="1" applyFont="1" applyFill="1" applyBorder="1"/>
    <x:xf numFmtId="0" fontId="6" fillId="8" borderId="8" xfId="0" applyNumberFormat="1" applyFont="1" applyFill="1" applyBorder="1"/>
    <x:xf numFmtId="0" fontId="6" fillId="4" borderId="8" xfId="0" applyNumberFormat="1" applyFont="1" applyFill="1" applyBorder="1"/>
    <x:xf numFmtId="0" fontId="6" fillId="13" borderId="10" xfId="0" applyNumberFormat="1" applyFont="1" applyFill="1" applyBorder="1"/>
    <x:xf numFmtId="0" fontId="6" fillId="0" borderId="16" xfId="0" applyNumberFormat="1" applyFont="1" applyFill="1" applyBorder="1"/>
    <x:xf numFmtId="0" fontId="6" fillId="0" borderId="11" xfId="0" applyNumberFormat="1" applyFont="1" applyFill="1" applyBorder="1"/>
    <x:xf numFmtId="0" fontId="7" fillId="15" borderId="6" xfId="0" applyNumberFormat="1" applyFont="1" applyFill="1" applyBorder="1" applyAlignment="1">
      <x:alignment wrapText="1"/>
    </x:xf>
    <x:xf numFmtId="0" fontId="7" fillId="15" borderId="14" xfId="0" applyNumberFormat="1" applyFont="1" applyFill="1" applyBorder="1" applyAlignment="1">
      <x:alignment wrapText="1"/>
    </x:xf>
    <x:xf numFmtId="0" fontId="7" fillId="15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13" borderId="10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67317a7c1485b" /><Relationship Type="http://schemas.openxmlformats.org/officeDocument/2006/relationships/theme" Target="/xl/theme/theme1.xml" Id="R5077f47be60d4a58" /><Relationship Type="http://schemas.openxmlformats.org/officeDocument/2006/relationships/sharedStrings" Target="/xl/sharedStrings.xml" Id="R1fee084740624d3c" /><Relationship Type="http://schemas.openxmlformats.org/officeDocument/2006/relationships/worksheet" Target="/xl/worksheets/sheet1.xml" Id="Rc5d30b3765914687" /><Relationship Type="http://schemas.openxmlformats.org/officeDocument/2006/relationships/worksheet" Target="/xl/worksheets/sheet2.xml" Id="R80987c2aed22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0" hidden="0" customWidth="1"/>
    <x:col min="7" max="7" width="24" hidden="0" customWidth="1"/>
    <x:col min="8" max="8" width="54" hidden="0" customWidth="1"/>
    <x:col min="9" max="9" width="48" hidden="0" customWidth="1"/>
    <x:col min="10" max="10" width="30" hidden="0" customWidth="1"/>
  </x:cols>
  <x:sheetData>
    <x:row r="1">
      <x:c r="A1" s="6" t="str">
        <x:v>Bedrijf</x:v>
      </x:c>
      <x:c r="B1" s="6" t="str">
        <x:v>Onderdeel</x:v>
      </x:c>
      <x:c r="C1" s="6" t="str">
        <x:v>No-show</x:v>
      </x:c>
      <x:c r="D1" s="6" t="str">
        <x:v>Volledige demo gehad</x:v>
      </x:c>
      <x:c r="E1" s="6" t="str">
        <x:v>Gekwalificeerd</x:v>
      </x:c>
      <x:c r="F1" s="6" t="str">
        <x:v>Kans</x:v>
      </x:c>
      <x:c r="G1" s="6" t="str">
        <x:v>Hoofdreden</x:v>
      </x:c>
      <x:c r="H1" s="6" t="str">
        <x:v>Samenvatting</x:v>
      </x:c>
      <x:c r="I1" s="6" t="str">
        <x:v>Actie voor setter</x:v>
      </x:c>
      <x:c r="J1" s="6" t="str">
        <x:v>Bron / check</x:v>
      </x:c>
    </x:row>
    <x:row r="2" ht="52" customHeight="1">
      <x:c r="A2" s="27" t="str">
        <x:v>Autobedrijf Andringa</x:v>
      </x:c>
      <x:c r="B2" s="27" t="str">
        <x:v>Deals lost - geen volledige demo</x:v>
      </x:c>
      <x:c r="C2" s="34" t="str">
        <x:v>Nee</x:v>
      </x:c>
      <x:c r="D2" s="35" t="str">
        <x:v>Nee</x:v>
      </x:c>
      <x:c r="E2" s="36" t="str">
        <x:v>Nee</x:v>
      </x:c>
      <x:c r="F2" s="29"/>
      <x:c r="G2" s="30" t="str">
        <x:v>Te klein</x:v>
      </x:c>
      <x:c r="H2" s="30" t="str">
        <x:v>Heeft circa 4 auto's in de verkoop. Te weinig capaciteit en volume op dit moment.</x:v>
      </x:c>
      <x:c r="I2" s="30" t="str">
        <x:v>Geen directe opvolging. Alleen later heropenen bij groei van voorraad/capaciteit.</x:v>
      </x:c>
      <x:c r="J2" s="30" t="str"/>
    </x:row>
    <x:row r="3" ht="52" customHeight="1">
      <x:c r="A3" s="41" t="str">
        <x:v>Bosch Car Service - Ben Van Tilburg</x:v>
      </x:c>
      <x:c r="B3" s="41" t="str">
        <x:v>Deals lost - geen volledige demo</x:v>
      </x:c>
      <x:c r="C3" s="48" t="str">
        <x:v>Ja</x:v>
      </x:c>
      <x:c r="D3" s="49" t="str">
        <x:v>Nee</x:v>
      </x:c>
      <x:c r="E3" s="50" t="str">
        <x:v>Nee</x:v>
      </x:c>
      <x:c r="F3" s="43"/>
      <x:c r="G3" s="44" t="str">
        <x:v>Geen interesse</x:v>
      </x:c>
      <x:c r="H3" s="44" t="str">
        <x:v>Was niet geinteresseerd. Albert heeft nagebeld na no-show.</x:v>
      </x:c>
      <x:c r="I3" s="44" t="str">
        <x:v>Afsluiten. Alleen herbenaderen als er nieuw signaal of inbound interesse komt.</x:v>
      </x:c>
      <x:c r="J3" s="44" t="str"/>
    </x:row>
    <x:row r="4" ht="52" customHeight="1">
      <x:c r="A4" s="41" t="str">
        <x:v>Van Maanen Auto's</x:v>
      </x:c>
      <x:c r="B4" s="41" t="str">
        <x:v>Deals lost - geen volledige demo</x:v>
      </x:c>
      <x:c r="C4" s="48" t="str">
        <x:v>Ja</x:v>
      </x:c>
      <x:c r="D4" s="49" t="str">
        <x:v>Nee</x:v>
      </x:c>
      <x:c r="E4" s="50" t="str">
        <x:v>Nee</x:v>
      </x:c>
      <x:c r="F4" s="43"/>
      <x:c r="G4" s="44" t="str">
        <x:v>Geen AI-fit</x:v>
      </x:c>
      <x:c r="H4" s="44" t="str">
        <x:v>Bastiaan is niet gecharmeerd van AI. Verkoopt auto's alleen en wil het niet drukker hebben.</x:v>
      </x:c>
      <x:c r="I4" s="44" t="str">
        <x:v>Afsluiten. Geen actieve opvolging tenzij houding richting AI verandert.</x:v>
      </x:c>
      <x:c r="J4" s="44" t="str"/>
    </x:row>
    <x:row r="5" ht="52" customHeight="1">
      <x:c r="A5" s="41" t="str">
        <x:v>Vakgarage Van der Zweep</x:v>
      </x:c>
      <x:c r="B5" s="41" t="str">
        <x:v>Deals lost - geen volledige demo</x:v>
      </x:c>
      <x:c r="C5" s="48" t="str">
        <x:v>Ja</x:v>
      </x:c>
      <x:c r="D5" s="49" t="str">
        <x:v>Nee</x:v>
      </x:c>
      <x:c r="E5" s="50" t="str">
        <x:v>Nee</x:v>
      </x:c>
      <x:c r="F5" s="43"/>
      <x:c r="G5" s="44" t="str">
        <x:v>Geen groeibehoefte</x:v>
      </x:c>
      <x:c r="H5" s="44" t="str">
        <x:v>Persoon staat niet open voor groei, vindt het prima zoals het gaat en wil niet veranderen.</x:v>
      </x:c>
      <x:c r="I5" s="44" t="str">
        <x:v>Afsluiten. Niet opnieuw pushen zonder duidelijk groeisignaal.</x:v>
      </x:c>
      <x:c r="J5" s="44" t="str"/>
    </x:row>
    <x:row r="6" ht="52" customHeight="1">
      <x:c r="A6" s="41" t="str">
        <x:v>Autobedrijf Rob Sengers</x:v>
      </x:c>
      <x:c r="B6" s="41" t="str">
        <x:v>Deals lost - geen volledige demo</x:v>
      </x:c>
      <x:c r="C6" s="48" t="str">
        <x:v>Ja</x:v>
      </x:c>
      <x:c r="D6" s="49" t="str">
        <x:v>Nee</x:v>
      </x:c>
      <x:c r="E6" s="50" t="str">
        <x:v>Nee</x:v>
      </x:c>
      <x:c r="F6" s="43"/>
      <x:c r="G6" s="44" t="str">
        <x:v>Geen interesse</x:v>
      </x:c>
      <x:c r="H6" s="44" t="str">
        <x:v>Eigenaar had geen interesse. Had met Larissa gebeld en heeft de afspraak gecanceld.</x:v>
      </x:c>
      <x:c r="I6" s="44" t="str">
        <x:v>Afsluiten. Eventueel later alleen met nieuwe aanleiding.</x:v>
      </x:c>
      <x:c r="J6" s="44" t="str"/>
    </x:row>
    <x:row r="7" ht="52" customHeight="1">
      <x:c r="A7" s="41" t="str">
        <x:v>Auto Wens B.V.</x:v>
      </x:c>
      <x:c r="B7" s="41" t="str">
        <x:v>Deals lost - geen volledige demo</x:v>
      </x:c>
      <x:c r="C7" s="48" t="str">
        <x:v>Ja</x:v>
      </x:c>
      <x:c r="D7" s="49" t="str">
        <x:v>Nee</x:v>
      </x:c>
      <x:c r="E7" s="50" t="str">
        <x:v>Nee</x:v>
      </x:c>
      <x:c r="F7" s="43"/>
      <x:c r="G7" s="44" t="str">
        <x:v>Timing / CRM</x:v>
      </x:c>
      <x:c r="H7" s="44" t="str">
        <x:v>Eigenaar is momenteel bezig met implementatie van CRM-systeem. Mogelijk later interessant.</x:v>
      </x:c>
      <x:c r="I7" s="44" t="str">
        <x:v>Later opvolgen na CRM-implementatie. Timing opnieuw toetsen.</x:v>
      </x:c>
      <x:c r="J7" s="44" t="str"/>
    </x:row>
    <x:row r="8" ht="52" customHeight="1">
      <x:c r="A8" s="55" t="str">
        <x:v>Huijbregts Exclusive Cars</x:v>
      </x:c>
      <x:c r="B8" s="55" t="str">
        <x:v>No show</x:v>
      </x:c>
      <x:c r="C8" s="48" t="str">
        <x:v>Ja</x:v>
      </x:c>
      <x:c r="D8" s="49" t="str">
        <x:v>Nee</x:v>
      </x:c>
      <x:c r="E8" s="60" t="str">
        <x:v>Onbekend</x:v>
      </x:c>
      <x:c r="F8" s="57"/>
      <x:c r="G8" s="58" t="str">
        <x:v>No-show</x:v>
      </x:c>
      <x:c r="H8" s="58" t="str">
        <x:v>Geen inhoudelijke demo of kwalificatie bekend.</x:v>
      </x:c>
      <x:c r="I8" s="58" t="str">
        <x:v>Opnieuw benaderen en reden no-show achterhalen.</x:v>
      </x:c>
      <x:c r="J8" s="58" t="str"/>
    </x:row>
    <x:row r="9" ht="52" customHeight="1">
      <x:c r="A9" s="55" t="str">
        <x:v>Pleij Automotive B.V.</x:v>
      </x:c>
      <x:c r="B9" s="55" t="str">
        <x:v>No show</x:v>
      </x:c>
      <x:c r="C9" s="48" t="str">
        <x:v>Ja</x:v>
      </x:c>
      <x:c r="D9" s="49" t="str">
        <x:v>Nee</x:v>
      </x:c>
      <x:c r="E9" s="60" t="str">
        <x:v>Onbekend</x:v>
      </x:c>
      <x:c r="F9" s="57"/>
      <x:c r="G9" s="58" t="str">
        <x:v>No-show</x:v>
      </x:c>
      <x:c r="H9" s="58" t="str">
        <x:v>Geen inhoudelijke demo of kwalificatie bekend.</x:v>
      </x:c>
      <x:c r="I9" s="58" t="str">
        <x:v>Opnieuw benaderen en reden no-show achterhalen.</x:v>
      </x:c>
      <x:c r="J9" s="58" t="str"/>
    </x:row>
    <x:row r="10" ht="52" customHeight="1">
      <x:c r="A10" s="55" t="str">
        <x:v>AutoFirst Autobedrijf Strijker</x:v>
      </x:c>
      <x:c r="B10" s="55" t="str">
        <x:v>No show</x:v>
      </x:c>
      <x:c r="C10" s="48" t="str">
        <x:v>Ja</x:v>
      </x:c>
      <x:c r="D10" s="49" t="str">
        <x:v>Nee</x:v>
      </x:c>
      <x:c r="E10" s="60" t="str">
        <x:v>Onbekend</x:v>
      </x:c>
      <x:c r="F10" s="57"/>
      <x:c r="G10" s="58" t="str">
        <x:v>No-show</x:v>
      </x:c>
      <x:c r="H10" s="58" t="str">
        <x:v>Geen inhoudelijke demo of kwalificatie bekend.</x:v>
      </x:c>
      <x:c r="I10" s="58" t="str">
        <x:v>Opnieuw benaderen en reden no-show achterhalen.</x:v>
      </x:c>
      <x:c r="J10" s="58" t="str"/>
    </x:row>
    <x:row r="11" ht="52" customHeight="1">
      <x:c r="A11" s="55" t="str">
        <x:v>Super50Carz B.V.</x:v>
      </x:c>
      <x:c r="B11" s="55" t="str">
        <x:v>No show</x:v>
      </x:c>
      <x:c r="C11" s="48" t="str">
        <x:v>Ja</x:v>
      </x:c>
      <x:c r="D11" s="49" t="str">
        <x:v>Nee</x:v>
      </x:c>
      <x:c r="E11" s="60" t="str">
        <x:v>Onbekend</x:v>
      </x:c>
      <x:c r="F11" s="57"/>
      <x:c r="G11" s="58" t="str">
        <x:v>No-show</x:v>
      </x:c>
      <x:c r="H11" s="58" t="str">
        <x:v>Geen inhoudelijke demo of kwalificatie bekend.</x:v>
      </x:c>
      <x:c r="I11" s="58" t="str">
        <x:v>Opnieuw benaderen en reden no-show achterhalen.</x:v>
      </x:c>
      <x:c r="J11" s="58" t="str"/>
    </x:row>
    <x:row r="12" ht="52" customHeight="1">
      <x:c r="A12" s="55" t="str">
        <x:v>autosgebruikt / AGU Auto Select</x:v>
      </x:c>
      <x:c r="B12" s="55" t="str">
        <x:v>No show</x:v>
      </x:c>
      <x:c r="C12" s="48" t="str">
        <x:v>Ja</x:v>
      </x:c>
      <x:c r="D12" s="49" t="str">
        <x:v>Nee</x:v>
      </x:c>
      <x:c r="E12" s="60" t="str">
        <x:v>Onbekend</x:v>
      </x:c>
      <x:c r="F12" s="57"/>
      <x:c r="G12" s="58" t="str">
        <x:v>No-show / dubbelcheck</x:v>
      </x:c>
      <x:c r="H12" s="58" t="str">
        <x:v>Dubbelcheck nodig: nieuwe bedrijfsnaam lijkt AGU Auto Select.</x:v>
      </x:c>
      <x:c r="I12" s="58" t="str">
        <x:v>Bedrijfsnaam en website controleren: https://aguautoselect.nl/.</x:v>
      </x:c>
      <x:c r="J12" s="58" t="str">
        <x:v>https://aguautoselect.nl/</x:v>
      </x:c>
    </x:row>
    <x:row r="13" ht="52" customHeight="1">
      <x:c r="A13" s="55" t="str">
        <x:v>Drost Autobedrijf</x:v>
      </x:c>
      <x:c r="B13" s="55" t="str">
        <x:v>No show</x:v>
      </x:c>
      <x:c r="C13" s="48" t="str">
        <x:v>Ja</x:v>
      </x:c>
      <x:c r="D13" s="49" t="str">
        <x:v>Nee</x:v>
      </x:c>
      <x:c r="E13" s="60" t="str">
        <x:v>Onbekend</x:v>
      </x:c>
      <x:c r="F13" s="57"/>
      <x:c r="G13" s="58" t="str">
        <x:v>No-show</x:v>
      </x:c>
      <x:c r="H13" s="58" t="str">
        <x:v>Geen inhoudelijke demo of kwalificatie bekend.</x:v>
      </x:c>
      <x:c r="I13" s="58" t="str">
        <x:v>Opnieuw benaderen en reden no-show achterhalen.</x:v>
      </x:c>
      <x:c r="J13" s="58" t="str"/>
    </x:row>
    <x:row r="14" ht="52" customHeight="1">
      <x:c r="A14" s="55" t="str">
        <x:v>JVB Cars</x:v>
      </x:c>
      <x:c r="B14" s="55" t="str">
        <x:v>No show</x:v>
      </x:c>
      <x:c r="C14" s="48" t="str">
        <x:v>Ja</x:v>
      </x:c>
      <x:c r="D14" s="49" t="str">
        <x:v>Nee</x:v>
      </x:c>
      <x:c r="E14" s="60" t="str">
        <x:v>Onbekend</x:v>
      </x:c>
      <x:c r="F14" s="57"/>
      <x:c r="G14" s="58" t="str">
        <x:v>No-show</x:v>
      </x:c>
      <x:c r="H14" s="58" t="str">
        <x:v>Geen inhoudelijke demo of kwalificatie bekend.</x:v>
      </x:c>
      <x:c r="I14" s="58" t="str">
        <x:v>Opnieuw benaderen en reden no-show achterhalen.</x:v>
      </x:c>
      <x:c r="J14" s="58" t="str"/>
    </x:row>
    <x:row r="15" ht="52" customHeight="1">
      <x:c r="A15" s="65" t="str">
        <x:v>Mol Occasions</x:v>
      </x:c>
      <x:c r="B15" s="65" t="str">
        <x:v>Deals lost - volledige demo gehad</x:v>
      </x:c>
      <x:c r="C15" s="72" t="str">
        <x:v>Nee</x:v>
      </x:c>
      <x:c r="D15" s="73" t="str">
        <x:v>Ja</x:v>
      </x:c>
      <x:c r="E15" s="74" t="str">
        <x:v>Ja</x:v>
      </x:c>
      <x:c r="F15" s="67"/>
      <x:c r="G15" s="68" t="str">
        <x:v>Voor nu te klein</x:v>
      </x:c>
      <x:c r="H15" s="68" t="str">
        <x:v>Voor nu te klein met circa 6 auto's te koop. Klantcontact is wel behapbaar. Medium gekwalificeerd.</x:v>
      </x:c>
      <x:c r="I15" s="68" t="str">
        <x:v>Warm houden. Later opnieuw toetsen bij groei in voorraad of leadvolume.</x:v>
      </x:c>
      <x:c r="J15" s="68" t="str"/>
    </x:row>
    <x:row r="16" ht="52" customHeight="1">
      <x:c r="A16" s="65" t="str">
        <x:v>Auto HR Occasions</x:v>
      </x:c>
      <x:c r="B16" s="65" t="str">
        <x:v>Deals lost - volledige demo gehad</x:v>
      </x:c>
      <x:c r="C16" s="72" t="str">
        <x:v>Nee</x:v>
      </x:c>
      <x:c r="D16" s="73" t="str">
        <x:v>Ja</x:v>
      </x:c>
      <x:c r="E16" s="50" t="str">
        <x:v>Nee</x:v>
      </x:c>
      <x:c r="F16" s="67"/>
      <x:c r="G16" s="68" t="str">
        <x:v>Te weinig volume</x:v>
      </x:c>
      <x:c r="H16" s="68" t="str">
        <x:v>Leuke mensen, maar te weinig volume. Voorraad- en capaciteitsprobleem; eerst intern nieuwe medewerker nodig.</x:v>
      </x:c>
      <x:c r="I16" s="68" t="str">
        <x:v>Afsluiten voor nu. Heropenen als volume/capaciteit verandert.</x:v>
      </x:c>
      <x:c r="J16" s="68" t="str"/>
    </x:row>
    <x:row r="17" ht="52" customHeight="1">
      <x:c r="A17" s="65" t="str">
        <x:v>NOFA Cars</x:v>
      </x:c>
      <x:c r="B17" s="65" t="str">
        <x:v>Deals lost - volledige demo gehad</x:v>
      </x:c>
      <x:c r="C17" s="72" t="str">
        <x:v>Nee</x:v>
      </x:c>
      <x:c r="D17" s="73" t="str">
        <x:v>Ja</x:v>
      </x:c>
      <x:c r="E17" s="74" t="str">
        <x:v>Ja</x:v>
      </x:c>
      <x:c r="F17" s="67"/>
      <x:c r="G17" s="68" t="str">
        <x:v>Verwachting / stem</x:v>
      </x:c>
      <x:c r="H17" s="68" t="str">
        <x:v>Dacht dat het om een echte medewerker ging. Wil Nederlandse stem; vertrouwt mensenstem niet en ervaart veel no-shows. Medium gekwalificeerd.</x:v>
      </x:c>
      <x:c r="I17" s="68" t="str">
        <x:v>Warm houden. Opvolgen zodra Nederlandse stem of betere positionering passend is.</x:v>
      </x:c>
      <x:c r="J17" s="68" t="str"/>
    </x:row>
    <x:row r="18" ht="52" customHeight="1">
      <x:c r="A18" s="79" t="str">
        <x:v>AutoVentura Goes - Premium Cars</x:v>
      </x:c>
      <x:c r="B18" s="79" t="str">
        <x:v>Voorstel verzonden</x:v>
      </x:c>
      <x:c r="C18" s="72" t="str">
        <x:v>Nee</x:v>
      </x:c>
      <x:c r="D18" s="73" t="str">
        <x:v>Ja</x:v>
      </x:c>
      <x:c r="E18" s="74" t="str">
        <x:v>Ja</x:v>
      </x:c>
      <x:c r="F18" s="80"/>
      <x:c r="G18" s="81" t="str">
        <x:v>Externe systemen</x:v>
      </x:c>
      <x:c r="H18" s="81" t="str">
        <x:v>Voorstel verzonden. Wachten op bevestiging van Claire of koppeling mogelijk is.</x:v>
      </x:c>
      <x:c r="I18" s="81" t="str">
        <x:v>Na bevestiging koppeling nieuwe meeting plannen met aftersales.</x:v>
      </x:c>
      <x:c r="J18" s="81" t="str"/>
    </x:row>
    <x:row r="19" ht="52" customHeight="1">
      <x:c r="A19" s="86" t="str">
        <x:v>Jansen Mobility</x:v>
      </x:c>
      <x:c r="B19" s="86" t="str">
        <x:v>2de gesprek</x:v>
      </x:c>
      <x:c r="C19" s="72" t="str">
        <x:v>Nee</x:v>
      </x:c>
      <x:c r="D19" s="73" t="str">
        <x:v>Ja</x:v>
      </x:c>
      <x:c r="E19" s="74" t="str">
        <x:v>Ja</x:v>
      </x:c>
      <x:c r="F19" s="90" t="n">
        <x:v>0.6</x:v>
      </x:c>
      <x:c r="G19" s="89" t="str">
        <x:v>Startende ondernemer / timing</x:v>
      </x:c>
      <x:c r="H19" s="89" t="str">
        <x:v>Startende ondernemer, doet momenteel alles zelf. Twijfelt over investering na groei naar ander pand, maar groei maakt kostenbesparing relevant.</x:v>
      </x:c>
      <x:c r="I19" s="89" t="str">
        <x:v>Sterk opvolgen op kostenbesparing versus aannemen personeel. Tweede gesprek op 25/06.</x:v>
      </x:c>
      <x:c r="J19" s="89" t="str"/>
    </x:row>
    <x:row r="20" ht="52" customHeight="1">
      <x:c r="A20" s="86" t="str">
        <x:v>Vakgarage Wals</x:v>
      </x:c>
      <x:c r="B20" s="86" t="str">
        <x:v>2de gesprek</x:v>
      </x:c>
      <x:c r="C20" s="72" t="str">
        <x:v>Nee</x:v>
      </x:c>
      <x:c r="D20" s="73" t="str">
        <x:v>Ja</x:v>
      </x:c>
      <x:c r="E20" s="74" t="str">
        <x:v>Ja</x:v>
      </x:c>
      <x:c r="F20" s="90" t="n">
        <x:v>0.8</x:v>
      </x:c>
      <x:c r="G20" s="89" t="str">
        <x:v>Sterke interesse / mede-eigenaar</x:v>
      </x:c>
      <x:c r="H20" s="89" t="str">
        <x:v>Vindt het interessant en klonk positief. Druk komt vaak op Jordy; ziet kansen in snellere leadopvolging. Wacht op confirmatie van andere eigenaar.</x:v>
      </x:c>
      <x:c r="I20" s="89" t="str">
        <x:v>Nieuw gesprek plannen met beide eigenaren zodra confirmatie binnen is.</x:v>
      </x:c>
      <x:c r="J20" s="89" t="str"/>
    </x:row>
  </x:sheetData>
  <x:dataValidations count="3">
    <x:dataValidation type="list" sqref="C2:C20">
      <x:formula1>"Ja,Nee"</x:formula1>
    </x:dataValidation>
    <x:dataValidation type="list" sqref="D2:D20">
      <x:formula1>"Ja,Nee"</x:formula1>
    </x:dataValidation>
    <x:dataValidation type="list" sqref="E2:E20">
      <x:formula1>"Ja,Nee,Onbekend"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70" hidden="0" customWidth="1"/>
  </x:cols>
  <x:sheetData>
    <x:row r="1">
      <x:c r="A1" s="124" t="str">
        <x:v>Setter overzicht - afspraken, no-shows en kwalificatie</x:v>
      </x:c>
      <x:c r="B1" s="124" t="str">
        <x:v>Setter overzicht - afspraken, no-shows en kwalificatie</x:v>
      </x:c>
      <x:c r="C1" s="124" t="str">
        <x:v>Setter overzicht - afspraken, no-shows en kwalificatie</x:v>
      </x:c>
      <x:c r="D1" s="124" t="str">
        <x:v>Setter overzicht - afspraken, no-shows en kwalificatie</x:v>
      </x:c>
      <x:c r="E1" s="124" t="str">
        <x:v>Setter overzicht - afspraken, no-shows en kwalificatie</x:v>
      </x:c>
      <x:c r="F1" s="124" t="str">
        <x:v>Setter overzicht - afspraken, no-shows en kwalificatie</x:v>
      </x:c>
    </x:row>
    <x:row r="2">
      <x:c r="A2" s="7"/>
      <x:c r="B2" s="7"/>
      <x:c r="C2" s="7"/>
      <x:c r="D2" s="7"/>
      <x:c r="E2" s="7"/>
      <x:c r="F2" s="7"/>
    </x:row>
    <x:row r="3">
      <x:c r="A3" s="125" t="str">
        <x:v>Metric</x:v>
      </x:c>
      <x:c r="B3" s="126" t="str">
        <x:v>Waarde</x:v>
      </x:c>
      <x:c r="C3" s="7"/>
      <x:c r="D3" s="7"/>
      <x:c r="E3" s="7"/>
      <x:c r="F3" s="7"/>
    </x:row>
    <x:row r="4">
      <x:c r="A4" s="127" t="str">
        <x:v>Totaal aantal afspraken</x:v>
      </x:c>
      <x:c r="B4" s="139" t="n">
        <x:f>COUNTA('Lead overzicht'!$A$2:$A$20)</x:f>
        <x:v>19</x:v>
      </x:c>
      <x:c r="C4" s="7"/>
      <x:c r="D4" s="155" t="str">
        <x:v>Kleur</x:v>
      </x:c>
      <x:c r="E4" s="156" t="str">
        <x:v>Betekenis</x:v>
      </x:c>
      <x:c r="F4" s="157" t="str">
        <x:v>Focus voor setter</x:v>
      </x:c>
    </x:row>
    <x:row r="5">
      <x:c r="A5" s="127" t="str">
        <x:v>Aantal no-shows</x:v>
      </x:c>
      <x:c r="B5" s="139" t="n">
        <x:f>COUNTIF('Lead overzicht'!$C$2:$C$20,"Ja")</x:f>
        <x:v>12</x:v>
      </x:c>
      <x:c r="C5" s="7"/>
      <x:c r="D5" s="158" t="str">
        <x:v>Rood</x:v>
      </x:c>
      <x:c r="E5" s="159" t="str">
        <x:v>Deals lost / geen fit</x:v>
      </x:c>
      <x:c r="F5" s="160" t="str">
        <x:v>Niet actief pushen</x:v>
      </x:c>
    </x:row>
    <x:row r="6">
      <x:c r="A6" s="127" t="str">
        <x:v>Aantal opgekomen afspraken</x:v>
      </x:c>
      <x:c r="B6" s="139" t="n">
        <x:f>B4-B5</x:f>
        <x:v>7</x:v>
      </x:c>
      <x:c r="C6" s="7"/>
      <x:c r="D6" s="161" t="str">
        <x:v>Oranje</x:v>
      </x:c>
      <x:c r="E6" s="159" t="str">
        <x:v>No-show of onbekend</x:v>
      </x:c>
      <x:c r="F6" s="160" t="str">
        <x:v>Heractiveren en reden achterhalen</x:v>
      </x:c>
    </x:row>
    <x:row r="7">
      <x:c r="A7" s="127" t="str">
        <x:v>Aantal niet gekwalificeerd</x:v>
      </x:c>
      <x:c r="B7" s="139" t="n">
        <x:f>COUNTIF('Lead overzicht'!$E$2:$E$20,"Nee")</x:f>
        <x:v>7</x:v>
      </x:c>
      <x:c r="C7" s="7"/>
      <x:c r="D7" s="162" t="str">
        <x:v>Groen</x:v>
      </x:c>
      <x:c r="E7" s="159" t="str">
        <x:v>Gekwalificeerd of voorstel</x:v>
      </x:c>
      <x:c r="F7" s="160" t="str">
        <x:v>Warm opvolgen</x:v>
      </x:c>
    </x:row>
    <x:row r="8">
      <x:c r="A8" s="127" t="str">
        <x:v>Aantal gekwalificeerd</x:v>
      </x:c>
      <x:c r="B8" s="139" t="n">
        <x:f>COUNTIF('Lead overzicht'!$E$2:$E$20,"Ja")</x:f>
        <x:v>5</x:v>
      </x:c>
      <x:c r="C8" s="7"/>
      <x:c r="D8" s="163" t="str">
        <x:v>Blauw</x:v>
      </x:c>
      <x:c r="E8" s="164" t="str">
        <x:v>Tweede gesprek</x:v>
      </x:c>
      <x:c r="F8" s="165" t="str">
        <x:v>Hoogste prioriteit</x:v>
      </x:c>
    </x:row>
    <x:row r="9">
      <x:c r="A9" s="127" t="str">
        <x:v>Aantal openstaand voor vervolg</x:v>
      </x:c>
      <x:c r="B9" s="139" t="n">
        <x:f>COUNTIF('Lead overzicht'!$B$2:$B$20,"Voorstel verzonden")+COUNTIF('Lead overzicht'!$B$2:$B$20,"2de gesprek")</x:f>
        <x:v>3</x:v>
      </x:c>
      <x:c r="C9" s="7"/>
      <x:c r="D9" s="7"/>
      <x:c r="E9" s="7"/>
      <x:c r="F9" s="7"/>
    </x:row>
    <x:row r="10">
      <x:c r="A10" s="129" t="str">
        <x:v>Ratio afspraak naar gekwalificeerd</x:v>
      </x:c>
      <x:c r="B10" s="140" t="n">
        <x:f>IF(B4=0,0,B8/B4)</x:f>
        <x:v>0.2631578947368421</x:v>
      </x:c>
      <x:c r="C10" s="7"/>
      <x:c r="D10" s="7"/>
      <x:c r="E10" s="7"/>
      <x:c r="F10" s="7"/>
    </x:row>
    <x:row r="11">
      <x:c r="A11" s="7"/>
      <x:c r="B11" s="7"/>
      <x:c r="C11" s="7"/>
      <x:c r="D11" s="7"/>
      <x:c r="E11" s="7"/>
      <x:c r="F11" s="7"/>
    </x:row>
    <x:row r="12">
      <x:c r="A12" s="131" t="str">
        <x:v>Onderdeel</x:v>
      </x:c>
      <x:c r="B12" s="131" t="str">
        <x:v>Aantal</x:v>
      </x:c>
      <x:c r="C12" s="131" t="str">
        <x:v>Gekwalificeerd</x:v>
      </x:c>
      <x:c r="D12" s="131" t="str">
        <x:v>No-shows</x:v>
      </x:c>
      <x:c r="E12" s="131" t="str">
        <x:v>Gem. kans</x:v>
      </x:c>
      <x:c r="F12" s="131" t="str">
        <x:v>Samenvatting voor setter</x:v>
      </x:c>
    </x:row>
    <x:row r="13" ht="50" customHeight="1">
      <x:c r="A13" s="9" t="str">
        <x:v>Deals lost - geen volledige demo</x:v>
      </x:c>
      <x:c r="B13" s="9" t="n">
        <x:f>COUNTIF('Lead overzicht'!$B$2:$B$20,A13)</x:f>
        <x:v>6</x:v>
      </x:c>
      <x:c r="C13" s="9" t="n">
        <x:f>COUNTIFS('Lead overzicht'!$B$2:$B$20,A13,'Lead overzicht'!$E$2:$E$20,"Ja")</x:f>
        <x:v>0</x:v>
      </x:c>
      <x:c r="D13" s="9" t="n">
        <x:f>COUNTIFS('Lead overzicht'!$B$2:$B$20,A13,'Lead overzicht'!$C$2:$C$20,"Ja")</x:f>
        <x:v>5</x:v>
      </x:c>
      <x:c r="E13" s="132" t="str">
        <x:f>IFERROR(AVERAGEIF('Lead overzicht'!$B$2:$B$20,A13,'Lead overzicht'!$F$2:$F$20),"")</x:f>
      </x:c>
      <x:c r="F13" s="135" t="str">
        <x:v>Meeste uitval komt door geen interesse, te klein zijn, beperkte groeibehoefte of verkeerde timing.</x:v>
      </x:c>
    </x:row>
    <x:row r="14" ht="50" customHeight="1">
      <x:c r="A14" s="9" t="str">
        <x:v>No show</x:v>
      </x:c>
      <x:c r="B14" s="9" t="n">
        <x:f>COUNTIF('Lead overzicht'!$B$2:$B$20,A14)</x:f>
        <x:v>7</x:v>
      </x:c>
      <x:c r="C14" s="9" t="n">
        <x:f>COUNTIFS('Lead overzicht'!$B$2:$B$20,A14,'Lead overzicht'!$E$2:$E$20,"Ja")</x:f>
        <x:v>0</x:v>
      </x:c>
      <x:c r="D14" s="9" t="n">
        <x:f>COUNTIFS('Lead overzicht'!$B$2:$B$20,A14,'Lead overzicht'!$C$2:$C$20,"Ja")</x:f>
        <x:v>7</x:v>
      </x:c>
      <x:c r="E14" s="132" t="str">
        <x:f>IFERROR(AVERAGEIF('Lead overzicht'!$B$2:$B$20,A14,'Lead overzicht'!$F$2:$F$20),"")</x:f>
      </x:c>
      <x:c r="F14" s="135" t="str">
        <x:v>Deze groep vraagt om heractivatie: reden no-show achterhalen en bedrijfsgegevens controleren.</x:v>
      </x:c>
    </x:row>
    <x:row r="15" ht="50" customHeight="1">
      <x:c r="A15" s="9" t="str">
        <x:v>Deals lost - volledige demo gehad</x:v>
      </x:c>
      <x:c r="B15" s="9" t="n">
        <x:f>COUNTIF('Lead overzicht'!$B$2:$B$20,A15)</x:f>
        <x:v>3</x:v>
      </x:c>
      <x:c r="C15" s="9" t="n">
        <x:f>COUNTIFS('Lead overzicht'!$B$2:$B$20,A15,'Lead overzicht'!$E$2:$E$20,"Ja")</x:f>
        <x:v>2</x:v>
      </x:c>
      <x:c r="D15" s="9" t="n">
        <x:f>COUNTIFS('Lead overzicht'!$B$2:$B$20,A15,'Lead overzicht'!$C$2:$C$20,"Ja")</x:f>
        <x:v>0</x:v>
      </x:c>
      <x:c r="E15" s="132" t="str">
        <x:f>IFERROR(AVERAGEIF('Lead overzicht'!$B$2:$B$20,A15,'Lead overzicht'!$F$2:$F$20),"")</x:f>
      </x:c>
      <x:c r="F15" s="135" t="str">
        <x:v>Mol Occasions en NOFA Cars zijn medium gekwalificeerd en geschikt om warm te houden; Auto HR is nu te klein.</x:v>
      </x:c>
    </x:row>
    <x:row r="16" ht="50" customHeight="1">
      <x:c r="A16" s="9" t="str">
        <x:v>Voorstel verzonden</x:v>
      </x:c>
      <x:c r="B16" s="9" t="n">
        <x:f>COUNTIF('Lead overzicht'!$B$2:$B$20,A16)</x:f>
        <x:v>1</x:v>
      </x:c>
      <x:c r="C16" s="9" t="n">
        <x:f>COUNTIFS('Lead overzicht'!$B$2:$B$20,A16,'Lead overzicht'!$E$2:$E$20,"Ja")</x:f>
        <x:v>1</x:v>
      </x:c>
      <x:c r="D16" s="9" t="n">
        <x:f>COUNTIFS('Lead overzicht'!$B$2:$B$20,A16,'Lead overzicht'!$C$2:$C$20,"Ja")</x:f>
        <x:v>0</x:v>
      </x:c>
      <x:c r="E16" s="132" t="str">
        <x:f>IFERROR(AVERAGEIF('Lead overzicht'!$B$2:$B$20,A16,'Lead overzicht'!$F$2:$F$20),"")</x:f>
      </x:c>
      <x:c r="F16" s="135" t="str">
        <x:v>AutoVentura hangt af van bevestiging of koppeling met externe systemen mogelijk is.</x:v>
      </x:c>
    </x:row>
    <x:row r="17" ht="50" customHeight="1">
      <x:c r="A17" s="133" t="str">
        <x:v>2de gesprek</x:v>
      </x:c>
      <x:c r="B17" s="133" t="n">
        <x:f>COUNTIF('Lead overzicht'!$B$2:$B$20,A17)</x:f>
        <x:v>2</x:v>
      </x:c>
      <x:c r="C17" s="133" t="n">
        <x:f>COUNTIFS('Lead overzicht'!$B$2:$B$20,A17,'Lead overzicht'!$E$2:$E$20,"Ja")</x:f>
        <x:v>2</x:v>
      </x:c>
      <x:c r="D17" s="133" t="n">
        <x:f>COUNTIFS('Lead overzicht'!$B$2:$B$20,A17,'Lead overzicht'!$C$2:$C$20,"Ja")</x:f>
        <x:v>0</x:v>
      </x:c>
      <x:c r="E17" s="134" t="n">
        <x:f>IFERROR(AVERAGEIF('Lead overzicht'!$B$2:$B$20,A17,'Lead overzicht'!$F$2:$F$20),"")</x:f>
        <x:v>0.7</x:v>
      </x:c>
      <x:c r="F17" s="136" t="str">
        <x:v>Jansen Mobility en Vakgarage Wals zijn de warmste kansen; focus op kostenbesparing, snelheid en meerdere eigenaren aan tafel.</x:v>
      </x:c>
    </x:row>
    <x:row r="18">
      <x:c r="A18" s="7"/>
      <x:c r="B18" s="7"/>
      <x:c r="C18" s="7"/>
      <x:c r="D18" s="7"/>
      <x:c r="E18" s="7"/>
      <x:c r="F18" s="7"/>
    </x:row>
    <x:row r="19">
      <x:c r="A19" s="7"/>
      <x:c r="B19" s="7"/>
      <x:c r="C19" s="7"/>
      <x:c r="D19" s="7"/>
      <x:c r="E19" s="7"/>
      <x:c r="F19" s="7"/>
    </x:row>
    <x:row r="20">
      <x:c r="A20" s="7"/>
      <x:c r="B20" s="7"/>
      <x:c r="C20" s="7"/>
      <x:c r="D20" s="168" t="str">
        <x:v>Definitie gekwalificeerd</x:v>
      </x:c>
      <x:c r="E20" s="168"/>
      <x:c r="F20" s="168"/>
    </x:row>
    <x:row r="21">
      <x:c r="A21" s="7"/>
      <x:c r="B21" s="7"/>
      <x:c r="C21" s="7"/>
      <x:c r="D21" s="167" t="str">
        <x:v>Geteld als gekwalificeerd wanneer er duidelijke commerciele fit, medium kwalificatie of een concrete vervolgstap is.</x:v>
      </x:c>
      <x:c r="E21" s="167"/>
      <x:c r="F21" s="167"/>
    </x:row>
    <x:row r="22">
      <x:c r="A22" s="7"/>
      <x:c r="B22" s="7"/>
      <x:c r="C22" s="7"/>
      <x:c r="D22" s="167" t="str">
        <x:v>Gekwalificeerd geteld: Mol Occasions, NOFA Cars, AutoVentura Goes, Jansen Mobility en Vakgarage Wals.</x:v>
      </x:c>
      <x:c r="E22" s="167"/>
      <x:c r="F22" s="167"/>
    </x:row>
  </x:sheetData>
  <x:mergeCells>
    <x:mergeCell ref="A1:F1"/>
    <x:mergeCell ref="D20:F20"/>
    <x:mergeCell ref="D21:F21"/>
    <x:mergeCell ref="D22:F22"/>
  </x:mergeCells>
  <x:pageMargins left="0.7" right="0.7" top="0.75" bottom="0.75" header="0.3" footer="0.3"/>
</x:worksheet>
</file>